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7520" windowHeight="8475"/>
  </bookViews>
  <sheets>
    <sheet name="Tabla definicion" sheetId="1" r:id="rId1"/>
    <sheet name="Parametros" sheetId="4" r:id="rId2"/>
    <sheet name="Glosario" sheetId="6" r:id="rId3"/>
  </sheets>
  <definedNames>
    <definedName name="_xlnm._FilterDatabase" localSheetId="0" hidden="1">'Tabla definicion'!$B$3:$H$9</definedName>
  </definedNames>
  <calcPr calcId="125725"/>
</workbook>
</file>

<file path=xl/calcChain.xml><?xml version="1.0" encoding="utf-8"?>
<calcChain xmlns="http://schemas.openxmlformats.org/spreadsheetml/2006/main">
  <c r="L41" i="1"/>
  <c r="L42"/>
  <c r="L43"/>
  <c r="L44"/>
  <c r="L40"/>
  <c r="L36"/>
  <c r="L37"/>
  <c r="L38"/>
  <c r="L39"/>
  <c r="L35"/>
  <c r="L31"/>
  <c r="L32"/>
  <c r="L33"/>
  <c r="L34"/>
  <c r="L30"/>
  <c r="L28"/>
  <c r="L29"/>
  <c r="L27"/>
  <c r="L26"/>
  <c r="L25"/>
  <c r="L24"/>
  <c r="L22"/>
  <c r="L21"/>
  <c r="L19"/>
  <c r="L18"/>
  <c r="L16"/>
  <c r="L15"/>
  <c r="L14"/>
  <c r="L13"/>
  <c r="L12"/>
  <c r="L11"/>
  <c r="L10"/>
  <c r="L9"/>
  <c r="L8"/>
  <c r="L7"/>
  <c r="L6"/>
  <c r="L5"/>
  <c r="L4"/>
  <c r="L3"/>
  <c r="F16"/>
  <c r="L23" s="1"/>
  <c r="F15"/>
  <c r="L20" s="1"/>
  <c r="F14"/>
  <c r="L17" s="1"/>
  <c r="D8"/>
  <c r="C8"/>
  <c r="C9" l="1"/>
</calcChain>
</file>

<file path=xl/comments1.xml><?xml version="1.0" encoding="utf-8"?>
<comments xmlns="http://schemas.openxmlformats.org/spreadsheetml/2006/main">
  <authors>
    <author>Ludens</author>
  </authors>
  <commentList>
    <comment ref="B12" authorId="0">
      <text>
        <r>
          <rPr>
            <b/>
            <sz val="9"/>
            <color indexed="81"/>
            <rFont val="Tahoma"/>
            <family val="2"/>
          </rPr>
          <t>Ludens:</t>
        </r>
        <r>
          <rPr>
            <sz val="9"/>
            <color indexed="81"/>
            <rFont val="Tahoma"/>
            <family val="2"/>
          </rPr>
          <t xml:space="preserve">
Funciones de distribución de probabilidad para cada barco y las especies que puede pescar.</t>
        </r>
      </text>
    </comment>
    <comment ref="B19" authorId="0">
      <text>
        <r>
          <rPr>
            <b/>
            <sz val="9"/>
            <color indexed="81"/>
            <rFont val="Tahoma"/>
            <family val="2"/>
          </rPr>
          <t>Ludens:</t>
        </r>
        <r>
          <rPr>
            <sz val="9"/>
            <color indexed="81"/>
            <rFont val="Tahoma"/>
            <family val="2"/>
          </rPr>
          <t xml:space="preserve">
Distribución de la cantidad de especie por zona</t>
        </r>
      </text>
    </comment>
  </commentList>
</comments>
</file>

<file path=xl/sharedStrings.xml><?xml version="1.0" encoding="utf-8"?>
<sst xmlns="http://schemas.openxmlformats.org/spreadsheetml/2006/main" count="145" uniqueCount="86">
  <si>
    <t>Especie</t>
  </si>
  <si>
    <t>Pequeña</t>
  </si>
  <si>
    <t>Grande</t>
  </si>
  <si>
    <t>Población inicial</t>
  </si>
  <si>
    <t>A</t>
  </si>
  <si>
    <t>B</t>
  </si>
  <si>
    <t>C</t>
  </si>
  <si>
    <t>Tasa de mortalidad</t>
  </si>
  <si>
    <t>Tasa de natalidad</t>
  </si>
  <si>
    <t>% Reproductores</t>
  </si>
  <si>
    <t>Total</t>
  </si>
  <si>
    <t>Subtotal</t>
  </si>
  <si>
    <t>Tipo de embarcación</t>
  </si>
  <si>
    <t>X</t>
  </si>
  <si>
    <t>Y</t>
  </si>
  <si>
    <t>Z</t>
  </si>
  <si>
    <t>Tipo de especie</t>
  </si>
  <si>
    <t>Capacidad de pesca</t>
  </si>
  <si>
    <t>TNa</t>
  </si>
  <si>
    <t>TNb</t>
  </si>
  <si>
    <t>TNc</t>
  </si>
  <si>
    <t>TM1a</t>
  </si>
  <si>
    <t>TM2a</t>
  </si>
  <si>
    <t>TM1b</t>
  </si>
  <si>
    <t>TM2b</t>
  </si>
  <si>
    <t>TM1c</t>
  </si>
  <si>
    <t>TM2c</t>
  </si>
  <si>
    <t>PRa</t>
  </si>
  <si>
    <t>PRb</t>
  </si>
  <si>
    <t>PRc</t>
  </si>
  <si>
    <t>PxA</t>
  </si>
  <si>
    <t>PxB</t>
  </si>
  <si>
    <t>PxC</t>
  </si>
  <si>
    <t>PyA</t>
  </si>
  <si>
    <t>PyB</t>
  </si>
  <si>
    <t>PyC</t>
  </si>
  <si>
    <t>PzA</t>
  </si>
  <si>
    <t>PzB</t>
  </si>
  <si>
    <t>PzC</t>
  </si>
  <si>
    <t>Cpx</t>
  </si>
  <si>
    <t>Cpy</t>
  </si>
  <si>
    <t>Cpz</t>
  </si>
  <si>
    <t>Periodo de Maduración</t>
  </si>
  <si>
    <t>PMa</t>
  </si>
  <si>
    <t>PMb</t>
  </si>
  <si>
    <t>PMc</t>
  </si>
  <si>
    <t>Acandí</t>
  </si>
  <si>
    <t>Bocas del atrato</t>
  </si>
  <si>
    <t>Turbo</t>
  </si>
  <si>
    <t>Necoclí</t>
  </si>
  <si>
    <t>Róbalo</t>
  </si>
  <si>
    <t>Pargo</t>
  </si>
  <si>
    <t>Sierra</t>
  </si>
  <si>
    <t>Mar profundo</t>
  </si>
  <si>
    <t>Lugar</t>
  </si>
  <si>
    <t xml:space="preserve"> Especies de peces</t>
  </si>
  <si>
    <t>Tipos de embarcación</t>
  </si>
  <si>
    <t>Barco pesquero</t>
  </si>
  <si>
    <t>Lancha</t>
  </si>
  <si>
    <t>Canoa</t>
  </si>
  <si>
    <t>Lugares de pesca</t>
  </si>
  <si>
    <t>M</t>
  </si>
  <si>
    <t>N</t>
  </si>
  <si>
    <t>O</t>
  </si>
  <si>
    <t>P</t>
  </si>
  <si>
    <t>Q</t>
  </si>
  <si>
    <t>La cantidad de barcos para cada uno de los procesos de pesca que se llevan en cada zona</t>
  </si>
  <si>
    <t>ha sido dividida por el número de lugares, para hacer el supuesto que los barcos durante</t>
  </si>
  <si>
    <t>el juego se verán uniformemente distribuidos.</t>
  </si>
  <si>
    <t>GAM</t>
  </si>
  <si>
    <t>GAN</t>
  </si>
  <si>
    <t>GAO</t>
  </si>
  <si>
    <t>GAP</t>
  </si>
  <si>
    <t>GAQ</t>
  </si>
  <si>
    <t>GBM</t>
  </si>
  <si>
    <t>GBN</t>
  </si>
  <si>
    <t>GBO</t>
  </si>
  <si>
    <t>GBP</t>
  </si>
  <si>
    <t>GBQ</t>
  </si>
  <si>
    <t>GCM</t>
  </si>
  <si>
    <t>GCN</t>
  </si>
  <si>
    <t>GCO</t>
  </si>
  <si>
    <t>GCP</t>
  </si>
  <si>
    <t>GCQ</t>
  </si>
  <si>
    <t>Barco Pesquero</t>
  </si>
  <si>
    <t>Chalupa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</si>
</sst>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/>
    <xf numFmtId="0" fontId="0" fillId="0" borderId="1" xfId="0" applyFill="1" applyBorder="1"/>
    <xf numFmtId="9" fontId="0" fillId="0" borderId="1" xfId="0" applyNumberFormat="1" applyFill="1" applyBorder="1"/>
    <xf numFmtId="0" fontId="0" fillId="0" borderId="0" xfId="0" applyBorder="1" applyAlignment="1"/>
    <xf numFmtId="0" fontId="0" fillId="0" borderId="0" xfId="0" applyBorder="1"/>
    <xf numFmtId="49" fontId="0" fillId="0" borderId="0" xfId="0" applyNumberFormat="1" applyBorder="1"/>
    <xf numFmtId="9" fontId="0" fillId="0" borderId="0" xfId="0" applyNumberFormat="1" applyBorder="1"/>
    <xf numFmtId="0" fontId="0" fillId="0" borderId="0" xfId="0" applyFill="1" applyBorder="1"/>
    <xf numFmtId="0" fontId="0" fillId="0" borderId="1" xfId="0" applyNumberFormat="1" applyFill="1" applyBorder="1"/>
    <xf numFmtId="9" fontId="0" fillId="0" borderId="0" xfId="0" applyNumberFormat="1"/>
    <xf numFmtId="9" fontId="0" fillId="0" borderId="1" xfId="1" applyFont="1" applyBorder="1"/>
    <xf numFmtId="0" fontId="4" fillId="2" borderId="0" xfId="0" applyFont="1" applyFill="1" applyBorder="1" applyAlignment="1"/>
    <xf numFmtId="0" fontId="4" fillId="2" borderId="0" xfId="0" applyFont="1" applyFill="1" applyBorder="1"/>
    <xf numFmtId="9" fontId="4" fillId="2" borderId="0" xfId="1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9" fontId="4" fillId="2" borderId="1" xfId="1" applyFont="1" applyFill="1" applyBorder="1"/>
  </cellXfs>
  <cellStyles count="2">
    <cellStyle name="Normal" xfId="0" builtinId="0"/>
    <cellStyle name="Porcentual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44"/>
  <sheetViews>
    <sheetView tabSelected="1" workbookViewId="0">
      <selection activeCell="H25" sqref="H25"/>
    </sheetView>
  </sheetViews>
  <sheetFormatPr baseColWidth="10" defaultColWidth="11.42578125" defaultRowHeight="15"/>
  <cols>
    <col min="2" max="2" width="15" bestFit="1" customWidth="1"/>
    <col min="4" max="4" width="14" customWidth="1"/>
    <col min="5" max="5" width="16.42578125" bestFit="1" customWidth="1"/>
    <col min="8" max="8" width="16.140625" bestFit="1" customWidth="1"/>
    <col min="9" max="9" width="16.140625" customWidth="1"/>
    <col min="11" max="11" width="13" customWidth="1"/>
    <col min="12" max="12" width="15.140625" customWidth="1"/>
  </cols>
  <sheetData>
    <row r="2" spans="2:12">
      <c r="K2" s="5"/>
      <c r="L2" s="5"/>
    </row>
    <row r="3" spans="2:12">
      <c r="B3" s="18" t="s">
        <v>0</v>
      </c>
      <c r="C3" s="17" t="s">
        <v>3</v>
      </c>
      <c r="D3" s="17"/>
      <c r="E3" s="18" t="s">
        <v>8</v>
      </c>
      <c r="F3" s="17" t="s">
        <v>7</v>
      </c>
      <c r="G3" s="17"/>
      <c r="H3" s="18" t="s">
        <v>9</v>
      </c>
      <c r="I3" s="16" t="s">
        <v>42</v>
      </c>
      <c r="K3" s="6" t="s">
        <v>18</v>
      </c>
      <c r="L3" s="6">
        <f>E5</f>
        <v>1</v>
      </c>
    </row>
    <row r="4" spans="2:12">
      <c r="B4" s="18"/>
      <c r="C4" s="1" t="s">
        <v>1</v>
      </c>
      <c r="D4" s="1" t="s">
        <v>2</v>
      </c>
      <c r="E4" s="18"/>
      <c r="F4" s="1" t="s">
        <v>1</v>
      </c>
      <c r="G4" s="1" t="s">
        <v>2</v>
      </c>
      <c r="H4" s="18"/>
      <c r="I4" s="16"/>
      <c r="K4" s="6" t="s">
        <v>19</v>
      </c>
      <c r="L4" s="6">
        <f>E6</f>
        <v>0.6</v>
      </c>
    </row>
    <row r="5" spans="2:12">
      <c r="B5" s="1" t="s">
        <v>50</v>
      </c>
      <c r="C5" s="1">
        <v>10000</v>
      </c>
      <c r="D5" s="1">
        <v>15000</v>
      </c>
      <c r="E5" s="3">
        <v>1</v>
      </c>
      <c r="F5" s="3">
        <v>0.1</v>
      </c>
      <c r="G5" s="3">
        <v>0.6</v>
      </c>
      <c r="H5" s="4">
        <v>0.9</v>
      </c>
      <c r="I5" s="10">
        <v>3</v>
      </c>
      <c r="K5" s="6" t="s">
        <v>20</v>
      </c>
      <c r="L5" s="6">
        <f>E7</f>
        <v>0.9</v>
      </c>
    </row>
    <row r="6" spans="2:12">
      <c r="B6" s="1" t="s">
        <v>51</v>
      </c>
      <c r="C6" s="1">
        <v>6000</v>
      </c>
      <c r="D6" s="1">
        <v>9000</v>
      </c>
      <c r="E6" s="3">
        <v>0.6</v>
      </c>
      <c r="F6" s="3">
        <v>0.2</v>
      </c>
      <c r="G6" s="3">
        <v>0.2</v>
      </c>
      <c r="H6" s="4">
        <v>0.95</v>
      </c>
      <c r="I6" s="10">
        <v>4</v>
      </c>
      <c r="K6" s="6" t="s">
        <v>21</v>
      </c>
      <c r="L6" s="6">
        <f>G5</f>
        <v>0.6</v>
      </c>
    </row>
    <row r="7" spans="2:12">
      <c r="B7" s="1" t="s">
        <v>52</v>
      </c>
      <c r="C7" s="1">
        <v>20000</v>
      </c>
      <c r="D7" s="1">
        <v>10000</v>
      </c>
      <c r="E7" s="3">
        <v>0.9</v>
      </c>
      <c r="F7" s="3">
        <v>0.01</v>
      </c>
      <c r="G7" s="3">
        <v>0.3</v>
      </c>
      <c r="H7" s="4">
        <v>0.85</v>
      </c>
      <c r="I7" s="10">
        <v>2</v>
      </c>
      <c r="K7" s="6" t="s">
        <v>22</v>
      </c>
      <c r="L7" s="6">
        <f>F5</f>
        <v>0.1</v>
      </c>
    </row>
    <row r="8" spans="2:12">
      <c r="B8" s="1" t="s">
        <v>11</v>
      </c>
      <c r="C8" s="1">
        <f>SUM(C5:C7)</f>
        <v>36000</v>
      </c>
      <c r="D8" s="1">
        <f>SUM(D5:D7)</f>
        <v>34000</v>
      </c>
      <c r="K8" s="6" t="s">
        <v>23</v>
      </c>
      <c r="L8" s="6">
        <f>G6</f>
        <v>0.2</v>
      </c>
    </row>
    <row r="9" spans="2:12">
      <c r="B9" s="1" t="s">
        <v>10</v>
      </c>
      <c r="C9" s="1">
        <f>SUM(C8:D8)</f>
        <v>70000</v>
      </c>
      <c r="K9" s="6" t="s">
        <v>24</v>
      </c>
      <c r="L9" s="6">
        <f>F6</f>
        <v>0.2</v>
      </c>
    </row>
    <row r="10" spans="2:12">
      <c r="K10" s="6" t="s">
        <v>25</v>
      </c>
      <c r="L10" s="6">
        <f>G7</f>
        <v>0.3</v>
      </c>
    </row>
    <row r="11" spans="2:12">
      <c r="K11" s="6" t="s">
        <v>26</v>
      </c>
      <c r="L11" s="6">
        <f>F7</f>
        <v>0.01</v>
      </c>
    </row>
    <row r="12" spans="2:12">
      <c r="B12" s="17" t="s">
        <v>12</v>
      </c>
      <c r="C12" s="17"/>
      <c r="D12" s="17" t="s">
        <v>16</v>
      </c>
      <c r="E12" s="17"/>
      <c r="F12" s="17"/>
      <c r="G12" s="19" t="s">
        <v>17</v>
      </c>
      <c r="K12" s="7" t="s">
        <v>27</v>
      </c>
      <c r="L12" s="8">
        <f>H5</f>
        <v>0.9</v>
      </c>
    </row>
    <row r="13" spans="2:12">
      <c r="B13" s="17"/>
      <c r="C13" s="17"/>
      <c r="D13" s="2" t="s">
        <v>51</v>
      </c>
      <c r="E13" s="2" t="s">
        <v>52</v>
      </c>
      <c r="F13" s="1" t="s">
        <v>50</v>
      </c>
      <c r="G13" s="19"/>
      <c r="K13" s="6" t="s">
        <v>28</v>
      </c>
      <c r="L13" s="8">
        <f>H6</f>
        <v>0.95</v>
      </c>
    </row>
    <row r="14" spans="2:12">
      <c r="B14" s="17" t="s">
        <v>84</v>
      </c>
      <c r="C14" s="17"/>
      <c r="D14" s="12">
        <v>0.25</v>
      </c>
      <c r="E14" s="12">
        <v>0.35</v>
      </c>
      <c r="F14" s="12">
        <f>1-E14-D14</f>
        <v>0.4</v>
      </c>
      <c r="G14" s="1">
        <v>100</v>
      </c>
      <c r="K14" s="6" t="s">
        <v>29</v>
      </c>
      <c r="L14" s="8">
        <f>H7</f>
        <v>0.85</v>
      </c>
    </row>
    <row r="15" spans="2:12">
      <c r="B15" s="17" t="s">
        <v>58</v>
      </c>
      <c r="C15" s="17"/>
      <c r="D15" s="12">
        <v>0.32</v>
      </c>
      <c r="E15" s="12">
        <v>0.4</v>
      </c>
      <c r="F15" s="12">
        <f>1-E15-D15</f>
        <v>0.27999999999999997</v>
      </c>
      <c r="G15" s="1">
        <v>60</v>
      </c>
      <c r="K15" s="6" t="s">
        <v>30</v>
      </c>
      <c r="L15" s="6">
        <f>D14</f>
        <v>0.25</v>
      </c>
    </row>
    <row r="16" spans="2:12">
      <c r="B16" s="17" t="s">
        <v>85</v>
      </c>
      <c r="C16" s="17"/>
      <c r="D16" s="12">
        <v>0.18</v>
      </c>
      <c r="E16" s="12">
        <v>0.27</v>
      </c>
      <c r="F16" s="12">
        <f>1-E16-D16</f>
        <v>0.55000000000000004</v>
      </c>
      <c r="G16" s="1">
        <v>30</v>
      </c>
      <c r="K16" s="6" t="s">
        <v>31</v>
      </c>
      <c r="L16" s="6">
        <f>E14</f>
        <v>0.35</v>
      </c>
    </row>
    <row r="17" spans="2:12">
      <c r="K17" s="6" t="s">
        <v>32</v>
      </c>
      <c r="L17" s="6">
        <f>F14</f>
        <v>0.4</v>
      </c>
    </row>
    <row r="18" spans="2:12">
      <c r="K18" s="6" t="s">
        <v>33</v>
      </c>
      <c r="L18" s="6">
        <f>D15</f>
        <v>0.32</v>
      </c>
    </row>
    <row r="19" spans="2:12">
      <c r="B19" s="12" t="s">
        <v>54</v>
      </c>
      <c r="C19" s="12" t="s">
        <v>50</v>
      </c>
      <c r="D19" s="12" t="s">
        <v>51</v>
      </c>
      <c r="E19" s="12" t="s">
        <v>52</v>
      </c>
      <c r="K19" s="6" t="s">
        <v>34</v>
      </c>
      <c r="L19" s="6">
        <f>E15</f>
        <v>0.4</v>
      </c>
    </row>
    <row r="20" spans="2:12">
      <c r="B20" s="20" t="s">
        <v>46</v>
      </c>
      <c r="C20" s="12">
        <v>0</v>
      </c>
      <c r="D20" s="12">
        <v>0.66666666666666663</v>
      </c>
      <c r="E20" s="12">
        <v>0.33333333333333331</v>
      </c>
      <c r="F20" s="11"/>
      <c r="K20" s="6" t="s">
        <v>35</v>
      </c>
      <c r="L20" s="6">
        <f>F15</f>
        <v>0.27999999999999997</v>
      </c>
    </row>
    <row r="21" spans="2:12">
      <c r="B21" s="20" t="s">
        <v>47</v>
      </c>
      <c r="C21" s="12">
        <v>1</v>
      </c>
      <c r="D21" s="12">
        <v>0</v>
      </c>
      <c r="E21" s="12">
        <v>0</v>
      </c>
      <c r="F21" s="11"/>
      <c r="K21" s="6" t="s">
        <v>36</v>
      </c>
      <c r="L21" s="6">
        <f>D16</f>
        <v>0.18</v>
      </c>
    </row>
    <row r="22" spans="2:12">
      <c r="B22" s="20" t="s">
        <v>48</v>
      </c>
      <c r="C22" s="12">
        <v>0.5</v>
      </c>
      <c r="D22" s="12">
        <v>0.25</v>
      </c>
      <c r="E22" s="12">
        <v>0.25</v>
      </c>
      <c r="F22" s="11"/>
      <c r="K22" s="6" t="s">
        <v>37</v>
      </c>
      <c r="L22" s="6">
        <f>E16</f>
        <v>0.27</v>
      </c>
    </row>
    <row r="23" spans="2:12">
      <c r="B23" s="20" t="s">
        <v>49</v>
      </c>
      <c r="C23" s="12">
        <v>0.1</v>
      </c>
      <c r="D23" s="12">
        <v>0.4</v>
      </c>
      <c r="E23" s="12">
        <v>0.5</v>
      </c>
      <c r="F23" s="11"/>
      <c r="K23" s="6" t="s">
        <v>38</v>
      </c>
      <c r="L23" s="6">
        <f>F16</f>
        <v>0.55000000000000004</v>
      </c>
    </row>
    <row r="24" spans="2:12">
      <c r="B24" s="20" t="s">
        <v>53</v>
      </c>
      <c r="C24" s="12">
        <v>0.25</v>
      </c>
      <c r="D24" s="12">
        <v>0.3</v>
      </c>
      <c r="E24" s="12">
        <v>0.45</v>
      </c>
      <c r="F24" s="11"/>
      <c r="K24" s="6" t="s">
        <v>39</v>
      </c>
      <c r="L24" s="6">
        <f>G14</f>
        <v>100</v>
      </c>
    </row>
    <row r="25" spans="2:12">
      <c r="K25" s="6" t="s">
        <v>40</v>
      </c>
      <c r="L25" s="6">
        <f>G15</f>
        <v>60</v>
      </c>
    </row>
    <row r="26" spans="2:12">
      <c r="K26" s="6" t="s">
        <v>41</v>
      </c>
      <c r="L26" s="6">
        <f>G16</f>
        <v>30</v>
      </c>
    </row>
    <row r="27" spans="2:12">
      <c r="K27" s="9" t="s">
        <v>43</v>
      </c>
      <c r="L27">
        <f>+I5</f>
        <v>3</v>
      </c>
    </row>
    <row r="28" spans="2:12">
      <c r="K28" s="9" t="s">
        <v>44</v>
      </c>
      <c r="L28">
        <f t="shared" ref="L28:L29" si="0">+I6</f>
        <v>4</v>
      </c>
    </row>
    <row r="29" spans="2:12">
      <c r="K29" s="9" t="s">
        <v>45</v>
      </c>
      <c r="L29">
        <f t="shared" si="0"/>
        <v>2</v>
      </c>
    </row>
    <row r="30" spans="2:12">
      <c r="K30" s="9" t="s">
        <v>69</v>
      </c>
      <c r="L30" s="11">
        <f>C20</f>
        <v>0</v>
      </c>
    </row>
    <row r="31" spans="2:12">
      <c r="K31" s="9" t="s">
        <v>70</v>
      </c>
      <c r="L31" s="11">
        <f t="shared" ref="L31:L34" si="1">C21</f>
        <v>1</v>
      </c>
    </row>
    <row r="32" spans="2:12">
      <c r="K32" s="9" t="s">
        <v>71</v>
      </c>
      <c r="L32" s="11">
        <f t="shared" si="1"/>
        <v>0.5</v>
      </c>
    </row>
    <row r="33" spans="11:12">
      <c r="K33" s="9" t="s">
        <v>72</v>
      </c>
      <c r="L33" s="11">
        <f t="shared" si="1"/>
        <v>0.1</v>
      </c>
    </row>
    <row r="34" spans="11:12">
      <c r="K34" s="9" t="s">
        <v>73</v>
      </c>
      <c r="L34" s="11">
        <f t="shared" si="1"/>
        <v>0.25</v>
      </c>
    </row>
    <row r="35" spans="11:12">
      <c r="K35" s="9" t="s">
        <v>74</v>
      </c>
      <c r="L35" s="11">
        <f>D20</f>
        <v>0.66666666666666663</v>
      </c>
    </row>
    <row r="36" spans="11:12">
      <c r="K36" s="9" t="s">
        <v>75</v>
      </c>
      <c r="L36" s="11">
        <f t="shared" ref="L36:L39" si="2">D21</f>
        <v>0</v>
      </c>
    </row>
    <row r="37" spans="11:12">
      <c r="K37" s="9" t="s">
        <v>76</v>
      </c>
      <c r="L37" s="11">
        <f t="shared" si="2"/>
        <v>0.25</v>
      </c>
    </row>
    <row r="38" spans="11:12">
      <c r="K38" s="9" t="s">
        <v>77</v>
      </c>
      <c r="L38" s="11">
        <f t="shared" si="2"/>
        <v>0.4</v>
      </c>
    </row>
    <row r="39" spans="11:12">
      <c r="K39" s="9" t="s">
        <v>78</v>
      </c>
      <c r="L39" s="11">
        <f t="shared" si="2"/>
        <v>0.3</v>
      </c>
    </row>
    <row r="40" spans="11:12">
      <c r="K40" s="9" t="s">
        <v>79</v>
      </c>
      <c r="L40" s="11">
        <f>E20</f>
        <v>0.33333333333333331</v>
      </c>
    </row>
    <row r="41" spans="11:12">
      <c r="K41" s="9" t="s">
        <v>80</v>
      </c>
      <c r="L41" s="11">
        <f t="shared" ref="L41:L44" si="3">E21</f>
        <v>0</v>
      </c>
    </row>
    <row r="42" spans="11:12">
      <c r="K42" s="9" t="s">
        <v>81</v>
      </c>
      <c r="L42" s="11">
        <f t="shared" si="3"/>
        <v>0.25</v>
      </c>
    </row>
    <row r="43" spans="11:12">
      <c r="K43" s="9" t="s">
        <v>82</v>
      </c>
      <c r="L43" s="11">
        <f t="shared" si="3"/>
        <v>0.5</v>
      </c>
    </row>
    <row r="44" spans="11:12">
      <c r="K44" s="9" t="s">
        <v>83</v>
      </c>
      <c r="L44" s="11">
        <f t="shared" si="3"/>
        <v>0.45</v>
      </c>
    </row>
  </sheetData>
  <mergeCells count="12">
    <mergeCell ref="B15:C15"/>
    <mergeCell ref="B16:C16"/>
    <mergeCell ref="G12:G13"/>
    <mergeCell ref="B12:C13"/>
    <mergeCell ref="D12:F12"/>
    <mergeCell ref="B14:C14"/>
    <mergeCell ref="I3:I4"/>
    <mergeCell ref="C3:D3"/>
    <mergeCell ref="B3:B4"/>
    <mergeCell ref="F3:G3"/>
    <mergeCell ref="E3:E4"/>
    <mergeCell ref="H3:H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"/>
  <sheetViews>
    <sheetView workbookViewId="0">
      <selection activeCell="B1" sqref="B1"/>
    </sheetView>
  </sheetViews>
  <sheetFormatPr baseColWidth="10" defaultColWidth="11.42578125" defaultRowHeight="15"/>
  <sheetData>
    <row r="1" spans="1:2">
      <c r="A1" t="s">
        <v>18</v>
      </c>
      <c r="B1">
        <v>1</v>
      </c>
    </row>
    <row r="2" spans="1:2">
      <c r="A2" t="s">
        <v>19</v>
      </c>
      <c r="B2">
        <v>0.6</v>
      </c>
    </row>
    <row r="3" spans="1:2">
      <c r="A3" t="s">
        <v>20</v>
      </c>
      <c r="B3">
        <v>0.9</v>
      </c>
    </row>
    <row r="4" spans="1:2">
      <c r="A4" t="s">
        <v>21</v>
      </c>
      <c r="B4">
        <v>0.6</v>
      </c>
    </row>
    <row r="5" spans="1:2">
      <c r="A5" t="s">
        <v>22</v>
      </c>
      <c r="B5">
        <v>0.1</v>
      </c>
    </row>
    <row r="6" spans="1:2">
      <c r="A6" t="s">
        <v>23</v>
      </c>
      <c r="B6">
        <v>0.2</v>
      </c>
    </row>
    <row r="7" spans="1:2">
      <c r="A7" t="s">
        <v>24</v>
      </c>
      <c r="B7">
        <v>0.2</v>
      </c>
    </row>
    <row r="8" spans="1:2">
      <c r="A8" t="s">
        <v>25</v>
      </c>
      <c r="B8">
        <v>0.3</v>
      </c>
    </row>
    <row r="9" spans="1:2">
      <c r="A9" t="s">
        <v>26</v>
      </c>
      <c r="B9">
        <v>0.01</v>
      </c>
    </row>
    <row r="10" spans="1:2">
      <c r="A10" t="s">
        <v>27</v>
      </c>
      <c r="B10">
        <v>0.9</v>
      </c>
    </row>
    <row r="11" spans="1:2">
      <c r="A11" t="s">
        <v>28</v>
      </c>
      <c r="B11">
        <v>0.95</v>
      </c>
    </row>
    <row r="12" spans="1:2">
      <c r="A12" t="s">
        <v>29</v>
      </c>
      <c r="B12">
        <v>0.85</v>
      </c>
    </row>
    <row r="13" spans="1:2">
      <c r="A13" t="s">
        <v>30</v>
      </c>
      <c r="B13">
        <v>0.25</v>
      </c>
    </row>
    <row r="14" spans="1:2">
      <c r="A14" t="s">
        <v>31</v>
      </c>
      <c r="B14">
        <v>0.35</v>
      </c>
    </row>
    <row r="15" spans="1:2">
      <c r="A15" t="s">
        <v>32</v>
      </c>
      <c r="B15">
        <v>0.4</v>
      </c>
    </row>
    <row r="16" spans="1:2">
      <c r="A16" t="s">
        <v>33</v>
      </c>
      <c r="B16">
        <v>0.32</v>
      </c>
    </row>
    <row r="17" spans="1:2">
      <c r="A17" t="s">
        <v>34</v>
      </c>
      <c r="B17">
        <v>0.4</v>
      </c>
    </row>
    <row r="18" spans="1:2">
      <c r="A18" t="s">
        <v>35</v>
      </c>
      <c r="B18">
        <v>0.27999999999999997</v>
      </c>
    </row>
    <row r="19" spans="1:2">
      <c r="A19" t="s">
        <v>36</v>
      </c>
      <c r="B19">
        <v>0.18</v>
      </c>
    </row>
    <row r="20" spans="1:2">
      <c r="A20" t="s">
        <v>37</v>
      </c>
      <c r="B20">
        <v>0.27</v>
      </c>
    </row>
    <row r="21" spans="1:2">
      <c r="A21" t="s">
        <v>38</v>
      </c>
      <c r="B21">
        <v>0.55000000000000004</v>
      </c>
    </row>
    <row r="22" spans="1:2">
      <c r="A22" t="s">
        <v>39</v>
      </c>
      <c r="B22">
        <v>30</v>
      </c>
    </row>
    <row r="23" spans="1:2">
      <c r="A23" t="s">
        <v>40</v>
      </c>
      <c r="B23">
        <v>25</v>
      </c>
    </row>
    <row r="24" spans="1:2">
      <c r="A24" t="s">
        <v>41</v>
      </c>
      <c r="B24">
        <v>27</v>
      </c>
    </row>
    <row r="25" spans="1:2">
      <c r="A25" t="s">
        <v>43</v>
      </c>
      <c r="B25">
        <v>3</v>
      </c>
    </row>
    <row r="26" spans="1:2">
      <c r="A26" t="s">
        <v>44</v>
      </c>
      <c r="B26">
        <v>4</v>
      </c>
    </row>
    <row r="27" spans="1:2">
      <c r="A27" t="s">
        <v>45</v>
      </c>
      <c r="B27">
        <v>2</v>
      </c>
    </row>
    <row r="28" spans="1:2">
      <c r="A28" t="s">
        <v>69</v>
      </c>
      <c r="B28">
        <v>0</v>
      </c>
    </row>
    <row r="29" spans="1:2">
      <c r="A29" t="s">
        <v>70</v>
      </c>
      <c r="B29">
        <v>1</v>
      </c>
    </row>
    <row r="30" spans="1:2">
      <c r="A30" t="s">
        <v>71</v>
      </c>
      <c r="B30">
        <v>0.5</v>
      </c>
    </row>
    <row r="31" spans="1:2">
      <c r="A31" t="s">
        <v>72</v>
      </c>
      <c r="B31">
        <v>0.1</v>
      </c>
    </row>
    <row r="32" spans="1:2">
      <c r="A32" t="s">
        <v>73</v>
      </c>
      <c r="B32">
        <v>0.25</v>
      </c>
    </row>
    <row r="33" spans="1:2">
      <c r="A33" t="s">
        <v>74</v>
      </c>
      <c r="B33">
        <v>0.66666666666666663</v>
      </c>
    </row>
    <row r="34" spans="1:2">
      <c r="A34" t="s">
        <v>75</v>
      </c>
      <c r="B34">
        <v>0</v>
      </c>
    </row>
    <row r="35" spans="1:2">
      <c r="A35" t="s">
        <v>76</v>
      </c>
      <c r="B35">
        <v>0.25</v>
      </c>
    </row>
    <row r="36" spans="1:2">
      <c r="A36" t="s">
        <v>77</v>
      </c>
      <c r="B36">
        <v>0.4</v>
      </c>
    </row>
    <row r="37" spans="1:2">
      <c r="A37" t="s">
        <v>78</v>
      </c>
      <c r="B37">
        <v>0.3</v>
      </c>
    </row>
    <row r="38" spans="1:2">
      <c r="A38" t="s">
        <v>79</v>
      </c>
      <c r="B38">
        <v>0.33333333333333331</v>
      </c>
    </row>
    <row r="39" spans="1:2">
      <c r="A39" t="s">
        <v>80</v>
      </c>
      <c r="B39">
        <v>0</v>
      </c>
    </row>
    <row r="40" spans="1:2">
      <c r="A40" t="s">
        <v>81</v>
      </c>
      <c r="B40">
        <v>0.25</v>
      </c>
    </row>
    <row r="41" spans="1:2">
      <c r="A41" t="s">
        <v>82</v>
      </c>
      <c r="B41">
        <v>0.5</v>
      </c>
    </row>
    <row r="42" spans="1:2">
      <c r="A42" t="s">
        <v>83</v>
      </c>
      <c r="B42">
        <v>0.45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>
      <selection activeCell="H2" sqref="H2:H6"/>
    </sheetView>
  </sheetViews>
  <sheetFormatPr baseColWidth="10" defaultColWidth="11.42578125" defaultRowHeight="15"/>
  <cols>
    <col min="1" max="1" width="2.5703125" style="14" customWidth="1"/>
    <col min="2" max="2" width="11.42578125" style="14" customWidth="1"/>
    <col min="3" max="3" width="11.42578125" style="14"/>
    <col min="4" max="4" width="2.85546875" style="14" customWidth="1"/>
    <col min="5" max="6" width="11.42578125" style="14"/>
    <col min="7" max="7" width="4.140625" style="14" customWidth="1"/>
    <col min="8" max="16384" width="11.42578125" style="14"/>
  </cols>
  <sheetData>
    <row r="1" spans="1:8">
      <c r="A1" s="13" t="s">
        <v>55</v>
      </c>
      <c r="B1" s="13"/>
      <c r="D1" s="14" t="s">
        <v>56</v>
      </c>
      <c r="G1" s="14" t="s">
        <v>60</v>
      </c>
    </row>
    <row r="2" spans="1:8">
      <c r="A2" s="14" t="s">
        <v>4</v>
      </c>
      <c r="B2" s="14" t="s">
        <v>50</v>
      </c>
      <c r="D2" s="14" t="s">
        <v>13</v>
      </c>
      <c r="E2" s="14" t="s">
        <v>57</v>
      </c>
      <c r="G2" s="14" t="s">
        <v>61</v>
      </c>
      <c r="H2" s="15" t="s">
        <v>46</v>
      </c>
    </row>
    <row r="3" spans="1:8">
      <c r="A3" s="14" t="s">
        <v>5</v>
      </c>
      <c r="B3" s="14" t="s">
        <v>52</v>
      </c>
      <c r="D3" s="14" t="s">
        <v>14</v>
      </c>
      <c r="E3" s="14" t="s">
        <v>58</v>
      </c>
      <c r="G3" s="14" t="s">
        <v>62</v>
      </c>
      <c r="H3" s="15" t="s">
        <v>47</v>
      </c>
    </row>
    <row r="4" spans="1:8">
      <c r="A4" s="14" t="s">
        <v>6</v>
      </c>
      <c r="B4" s="14" t="s">
        <v>51</v>
      </c>
      <c r="D4" s="14" t="s">
        <v>15</v>
      </c>
      <c r="E4" s="14" t="s">
        <v>59</v>
      </c>
      <c r="G4" s="14" t="s">
        <v>63</v>
      </c>
      <c r="H4" s="15" t="s">
        <v>48</v>
      </c>
    </row>
    <row r="5" spans="1:8">
      <c r="G5" s="14" t="s">
        <v>64</v>
      </c>
      <c r="H5" s="15" t="s">
        <v>49</v>
      </c>
    </row>
    <row r="6" spans="1:8">
      <c r="G6" s="14" t="s">
        <v>65</v>
      </c>
      <c r="H6" s="15" t="s">
        <v>53</v>
      </c>
    </row>
    <row r="10" spans="1:8">
      <c r="B10" s="14" t="s">
        <v>66</v>
      </c>
    </row>
    <row r="11" spans="1:8">
      <c r="B11" s="14" t="s">
        <v>67</v>
      </c>
    </row>
    <row r="12" spans="1:8">
      <c r="B12" s="1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definicion</vt:lpstr>
      <vt:lpstr>Parametros</vt:lpstr>
      <vt:lpstr>Glosario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ospina</dc:creator>
  <cp:lastModifiedBy>Ludens</cp:lastModifiedBy>
  <dcterms:created xsi:type="dcterms:W3CDTF">2010-03-18T14:59:18Z</dcterms:created>
  <dcterms:modified xsi:type="dcterms:W3CDTF">2010-06-30T18:33:33Z</dcterms:modified>
</cp:coreProperties>
</file>